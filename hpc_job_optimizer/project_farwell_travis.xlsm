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travi\OneDrive\NPS\OA4801\"/>
    </mc:Choice>
  </mc:AlternateContent>
  <xr:revisionPtr revIDLastSave="4340" documentId="8_{62A68E8E-F08E-4C5B-94AA-9FAB03989EC5}" xr6:coauthVersionLast="40" xr6:coauthVersionMax="40" xr10:uidLastSave="{CAD64A49-C153-4E60-B800-C1C450BF351B}"/>
  <bookViews>
    <workbookView xWindow="0" yWindow="0" windowWidth="32910" windowHeight="14190" tabRatio="280" xr2:uid="{A0CE3DA1-D750-4A92-B6FE-99C2826BA683}"/>
  </bookViews>
  <sheets>
    <sheet name="JobRun" sheetId="2" r:id="rId1"/>
  </sheets>
  <definedNames>
    <definedName name="Cores">JobRun!$C$11:$C$35</definedName>
    <definedName name="EndTime">JobRun!$F$11:$F$35</definedName>
    <definedName name="Hour">JobRun!$J$10:$U$10</definedName>
    <definedName name="Length">JobRun!$D$11:$D$35</definedName>
    <definedName name="MinMaxCores">JobRun!$J$39</definedName>
    <definedName name="Names">JobRun!$B$11:$B$35</definedName>
    <definedName name="solver_adj" localSheetId="0" hidden="1">JobRun!$E$11:$E$35</definedName>
    <definedName name="solver_cvg" localSheetId="0" hidden="1">0.0001</definedName>
    <definedName name="solver_drv" localSheetId="0" hidden="1">1</definedName>
    <definedName name="solver_eng" localSheetId="0" hidden="1">3</definedName>
    <definedName name="solver_est" localSheetId="0" hidden="1">1</definedName>
    <definedName name="solver_itr" localSheetId="0" hidden="1">2147483647</definedName>
    <definedName name="solver_lhs1" localSheetId="0" hidden="1">JobRun!$F$11:$F$35</definedName>
    <definedName name="solver_lhs10" localSheetId="0" hidden="1">JobRun!$E$11:$E$35</definedName>
    <definedName name="solver_lhs11" localSheetId="0" hidden="1">JobRun!$E$11:$E$35</definedName>
    <definedName name="solver_lhs12" localSheetId="0" hidden="1">JobRun!$E$11:$E$35</definedName>
    <definedName name="solver_lhs13" localSheetId="0" hidden="1">JobRun!$E$11:$E$35</definedName>
    <definedName name="solver_lhs14" localSheetId="0" hidden="1">JobRun!$E$11:$E$35</definedName>
    <definedName name="solver_lhs15" localSheetId="0" hidden="1">JobRun!$E$11:$E$35</definedName>
    <definedName name="solver_lhs2" localSheetId="0" hidden="1">JobRun!$E$11:$E$35</definedName>
    <definedName name="solver_lhs3" localSheetId="0" hidden="1">JobRun!$E$11:$E$35</definedName>
    <definedName name="solver_lhs4" localSheetId="0" hidden="1">JobRun!$E$11:$E$35</definedName>
    <definedName name="solver_lhs5" localSheetId="0" hidden="1">JobRun!$F$11:$F$35</definedName>
    <definedName name="solver_lhs6" localSheetId="0" hidden="1">JobRun!$E$11:$E$35</definedName>
    <definedName name="solver_lhs7" localSheetId="0" hidden="1">JobRun!$E$11:$E$35</definedName>
    <definedName name="solver_lhs8" localSheetId="0" hidden="1">JobRun!$E$11:$E$35</definedName>
    <definedName name="solver_lhs9" localSheetId="0" hidden="1">JobRun!$F$11:$F$35</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3</definedName>
    <definedName name="solver_nwt" localSheetId="0" hidden="1">1</definedName>
    <definedName name="solver_opt" localSheetId="0" hidden="1">JobRun!$J$39</definedName>
    <definedName name="solver_pre" localSheetId="0" hidden="1">0.000001</definedName>
    <definedName name="solver_rbv" localSheetId="0" hidden="1">1</definedName>
    <definedName name="solver_rel1" localSheetId="0" hidden="1">1</definedName>
    <definedName name="solver_rel10" localSheetId="0" hidden="1">4</definedName>
    <definedName name="solver_rel11" localSheetId="0" hidden="1">4</definedName>
    <definedName name="solver_rel12" localSheetId="0" hidden="1">1</definedName>
    <definedName name="solver_rel13" localSheetId="0" hidden="1">4</definedName>
    <definedName name="solver_rel14" localSheetId="0" hidden="1">4</definedName>
    <definedName name="solver_rel15" localSheetId="0" hidden="1">4</definedName>
    <definedName name="solver_rel2" localSheetId="0" hidden="1">1</definedName>
    <definedName name="solver_rel3" localSheetId="0" hidden="1">4</definedName>
    <definedName name="solver_rel4" localSheetId="0" hidden="1">1</definedName>
    <definedName name="solver_rel5" localSheetId="0" hidden="1">1</definedName>
    <definedName name="solver_rel6" localSheetId="0" hidden="1">1</definedName>
    <definedName name="solver_rel7" localSheetId="0" hidden="1">1</definedName>
    <definedName name="solver_rel8" localSheetId="0" hidden="1">1</definedName>
    <definedName name="solver_rel9" localSheetId="0" hidden="1">1</definedName>
    <definedName name="solver_rhs1" localSheetId="0" hidden="1">11</definedName>
    <definedName name="solver_rhs10" localSheetId="0" hidden="1">integer</definedName>
    <definedName name="solver_rhs11" localSheetId="0" hidden="1">integer</definedName>
    <definedName name="solver_rhs12" localSheetId="0" hidden="1">11</definedName>
    <definedName name="solver_rhs13" localSheetId="0" hidden="1">integer</definedName>
    <definedName name="solver_rhs14" localSheetId="0" hidden="1">integer</definedName>
    <definedName name="solver_rhs15" localSheetId="0" hidden="1">integer</definedName>
    <definedName name="solver_rhs2" localSheetId="0" hidden="1">11</definedName>
    <definedName name="solver_rhs3" localSheetId="0" hidden="1">integer</definedName>
    <definedName name="solver_rhs4" localSheetId="0" hidden="1">11</definedName>
    <definedName name="solver_rhs5" localSheetId="0" hidden="1">11</definedName>
    <definedName name="solver_rhs6" localSheetId="0" hidden="1">11</definedName>
    <definedName name="solver_rhs7" localSheetId="0" hidden="1">11</definedName>
    <definedName name="solver_rhs8" localSheetId="0" hidden="1">11</definedName>
    <definedName name="solver_rhs9" localSheetId="0" hidden="1">11</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 name="StartTime">JobRun!$E$11:$E$35</definedName>
    <definedName name="TotalCores">JobRun!$J$36:$U$36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35" i="2" l="1"/>
  <c r="U35" i="2" s="1"/>
  <c r="F34" i="2"/>
  <c r="U34" i="2" s="1"/>
  <c r="F33" i="2"/>
  <c r="U33" i="2" s="1"/>
  <c r="F32" i="2"/>
  <c r="U32" i="2" s="1"/>
  <c r="F31" i="2"/>
  <c r="U31" i="2" s="1"/>
  <c r="F30" i="2"/>
  <c r="U30" i="2" s="1"/>
  <c r="J35" i="2" l="1"/>
  <c r="K35" i="2"/>
  <c r="Q35" i="2"/>
  <c r="R35" i="2"/>
  <c r="P35" i="2"/>
  <c r="M35" i="2"/>
  <c r="S35" i="2"/>
  <c r="L35" i="2"/>
  <c r="N35" i="2"/>
  <c r="T35" i="2"/>
  <c r="O35" i="2"/>
  <c r="K34" i="2"/>
  <c r="L34" i="2"/>
  <c r="R34" i="2"/>
  <c r="J34" i="2"/>
  <c r="S34" i="2"/>
  <c r="P34" i="2"/>
  <c r="Q34" i="2"/>
  <c r="M34" i="2"/>
  <c r="N34" i="2"/>
  <c r="T34" i="2"/>
  <c r="O34" i="2"/>
  <c r="J33" i="2"/>
  <c r="K33" i="2"/>
  <c r="L33" i="2"/>
  <c r="R33" i="2"/>
  <c r="P33" i="2"/>
  <c r="Q33" i="2"/>
  <c r="M33" i="2"/>
  <c r="S33" i="2"/>
  <c r="N33" i="2"/>
  <c r="T33" i="2"/>
  <c r="O33" i="2"/>
  <c r="Q32" i="2"/>
  <c r="K32" i="2"/>
  <c r="R32" i="2"/>
  <c r="J32" i="2"/>
  <c r="L32" i="2"/>
  <c r="S32" i="2"/>
  <c r="N32" i="2"/>
  <c r="P32" i="2"/>
  <c r="M32" i="2"/>
  <c r="T32" i="2"/>
  <c r="O32" i="2"/>
  <c r="N31" i="2"/>
  <c r="P31" i="2"/>
  <c r="J31" i="2"/>
  <c r="Q31" i="2"/>
  <c r="R31" i="2"/>
  <c r="T31" i="2"/>
  <c r="K31" i="2"/>
  <c r="L31" i="2"/>
  <c r="M31" i="2"/>
  <c r="S31" i="2"/>
  <c r="O31" i="2"/>
  <c r="R30" i="2"/>
  <c r="P30" i="2"/>
  <c r="K30" i="2"/>
  <c r="Q30" i="2"/>
  <c r="L30" i="2"/>
  <c r="M30" i="2"/>
  <c r="S30" i="2"/>
  <c r="J30" i="2"/>
  <c r="N30" i="2"/>
  <c r="T30" i="2"/>
  <c r="O30" i="2"/>
  <c r="F29" i="2"/>
  <c r="U29" i="2" s="1"/>
  <c r="K29" i="2" l="1"/>
  <c r="J29" i="2"/>
  <c r="L29" i="2"/>
  <c r="P29" i="2"/>
  <c r="Q29" i="2"/>
  <c r="S29" i="2"/>
  <c r="R29" i="2"/>
  <c r="M29" i="2"/>
  <c r="N29" i="2"/>
  <c r="T29" i="2"/>
  <c r="O29" i="2"/>
  <c r="F11" i="2"/>
  <c r="K11" i="2" s="1"/>
  <c r="F12" i="2"/>
  <c r="N12" i="2" s="1"/>
  <c r="F13" i="2"/>
  <c r="M13" i="2" s="1"/>
  <c r="F14" i="2"/>
  <c r="O14" i="2" s="1"/>
  <c r="F15" i="2"/>
  <c r="P15" i="2" s="1"/>
  <c r="F16" i="2"/>
  <c r="L16" i="2" s="1"/>
  <c r="F17" i="2"/>
  <c r="L17" i="2" s="1"/>
  <c r="F18" i="2"/>
  <c r="O18" i="2" s="1"/>
  <c r="F19" i="2"/>
  <c r="O19" i="2" s="1"/>
  <c r="F20" i="2"/>
  <c r="O20" i="2" s="1"/>
  <c r="F21" i="2"/>
  <c r="U21" i="2" s="1"/>
  <c r="F22" i="2"/>
  <c r="J22" i="2" s="1"/>
  <c r="F23" i="2"/>
  <c r="S23" i="2" s="1"/>
  <c r="F24" i="2"/>
  <c r="Q24" i="2" s="1"/>
  <c r="F25" i="2"/>
  <c r="S25" i="2" s="1"/>
  <c r="F26" i="2"/>
  <c r="K26" i="2" s="1"/>
  <c r="F27" i="2"/>
  <c r="K27" i="2" s="1"/>
  <c r="F28" i="2"/>
  <c r="K28" i="2" s="1"/>
  <c r="P11" i="2" l="1"/>
  <c r="U11" i="2"/>
  <c r="T11" i="2"/>
  <c r="R11" i="2"/>
  <c r="M17" i="2"/>
  <c r="J17" i="2"/>
  <c r="J11" i="2"/>
  <c r="T17" i="2"/>
  <c r="P17" i="2"/>
  <c r="O17" i="2"/>
  <c r="N17" i="2"/>
  <c r="T22" i="2"/>
  <c r="K22" i="2"/>
  <c r="M16" i="2"/>
  <c r="K16" i="2"/>
  <c r="N16" i="2"/>
  <c r="J26" i="2"/>
  <c r="J16" i="2"/>
  <c r="N22" i="2"/>
  <c r="S16" i="2"/>
  <c r="P22" i="2"/>
  <c r="U16" i="2"/>
  <c r="T16" i="2"/>
  <c r="Q16" i="2"/>
  <c r="O11" i="2"/>
  <c r="U17" i="2"/>
  <c r="K17" i="2"/>
  <c r="S17" i="2"/>
  <c r="N11" i="2"/>
  <c r="Q17" i="2"/>
  <c r="M11" i="2"/>
  <c r="R12" i="2"/>
  <c r="S12" i="2"/>
  <c r="J12" i="2"/>
  <c r="P12" i="2"/>
  <c r="O16" i="2"/>
  <c r="J14" i="2"/>
  <c r="L12" i="2"/>
  <c r="J18" i="2"/>
  <c r="K12" i="2"/>
  <c r="S11" i="2"/>
  <c r="L11" i="2"/>
  <c r="M23" i="2"/>
  <c r="P16" i="2"/>
  <c r="P13" i="2"/>
  <c r="M12" i="2"/>
  <c r="L13" i="2"/>
  <c r="R16" i="2"/>
  <c r="Q12" i="2"/>
  <c r="U28" i="2"/>
  <c r="T28" i="2"/>
  <c r="R28" i="2"/>
  <c r="J28" i="2"/>
  <c r="L28" i="2"/>
  <c r="Q28" i="2"/>
  <c r="N28" i="2"/>
  <c r="O24" i="2"/>
  <c r="N23" i="2"/>
  <c r="R17" i="2"/>
  <c r="T14" i="2"/>
  <c r="S14" i="2"/>
  <c r="N14" i="2"/>
  <c r="M14" i="2"/>
  <c r="R13" i="2"/>
  <c r="U12" i="2"/>
  <c r="O12" i="2"/>
  <c r="T12" i="2"/>
  <c r="Q11" i="2"/>
  <c r="K24" i="2"/>
  <c r="Q13" i="2"/>
  <c r="K13" i="2"/>
  <c r="L24" i="2"/>
  <c r="P25" i="2"/>
  <c r="U13" i="2"/>
  <c r="O13" i="2"/>
  <c r="U24" i="2"/>
  <c r="T13" i="2"/>
  <c r="N13" i="2"/>
  <c r="J13" i="2"/>
  <c r="S13" i="2"/>
  <c r="N25" i="2"/>
  <c r="N21" i="2"/>
  <c r="U15" i="2"/>
  <c r="R21" i="2"/>
  <c r="O15" i="2"/>
  <c r="L21" i="2"/>
  <c r="T15" i="2"/>
  <c r="S15" i="2"/>
  <c r="M15" i="2"/>
  <c r="R14" i="2"/>
  <c r="L14" i="2"/>
  <c r="J21" i="2"/>
  <c r="N15" i="2"/>
  <c r="R15" i="2"/>
  <c r="L15" i="2"/>
  <c r="Q14" i="2"/>
  <c r="K14" i="2"/>
  <c r="Q15" i="2"/>
  <c r="K15" i="2"/>
  <c r="P14" i="2"/>
  <c r="M25" i="2"/>
  <c r="J15" i="2"/>
  <c r="U14" i="2"/>
  <c r="P28" i="2"/>
  <c r="O28" i="2"/>
  <c r="S28" i="2"/>
  <c r="M28" i="2"/>
  <c r="P27" i="2"/>
  <c r="U27" i="2"/>
  <c r="O27" i="2"/>
  <c r="T27" i="2"/>
  <c r="N27" i="2"/>
  <c r="S27" i="2"/>
  <c r="M27" i="2"/>
  <c r="L27" i="2"/>
  <c r="R27" i="2"/>
  <c r="J27" i="2"/>
  <c r="Q27" i="2"/>
  <c r="P26" i="2"/>
  <c r="U26" i="2"/>
  <c r="T26" i="2"/>
  <c r="N26" i="2"/>
  <c r="O26" i="2"/>
  <c r="S26" i="2"/>
  <c r="M26" i="2"/>
  <c r="R26" i="2"/>
  <c r="L26" i="2"/>
  <c r="Q26" i="2"/>
  <c r="R25" i="2"/>
  <c r="L25" i="2"/>
  <c r="Q25" i="2"/>
  <c r="K25" i="2"/>
  <c r="U25" i="2"/>
  <c r="O25" i="2"/>
  <c r="J25" i="2"/>
  <c r="T25" i="2"/>
  <c r="P24" i="2"/>
  <c r="T24" i="2"/>
  <c r="N24" i="2"/>
  <c r="S24" i="2"/>
  <c r="M24" i="2"/>
  <c r="J24" i="2"/>
  <c r="R24" i="2"/>
  <c r="R23" i="2"/>
  <c r="L23" i="2"/>
  <c r="K23" i="2"/>
  <c r="P23" i="2"/>
  <c r="Q23" i="2"/>
  <c r="U23" i="2"/>
  <c r="O23" i="2"/>
  <c r="J23" i="2"/>
  <c r="T23" i="2"/>
  <c r="U22" i="2"/>
  <c r="O22" i="2"/>
  <c r="S22" i="2"/>
  <c r="M22" i="2"/>
  <c r="R22" i="2"/>
  <c r="L22" i="2"/>
  <c r="Q22" i="2"/>
  <c r="S21" i="2"/>
  <c r="M21" i="2"/>
  <c r="Q21" i="2"/>
  <c r="K21" i="2"/>
  <c r="P21" i="2"/>
  <c r="O21" i="2"/>
  <c r="T21" i="2"/>
  <c r="T20" i="2"/>
  <c r="N20" i="2"/>
  <c r="S20" i="2"/>
  <c r="M20" i="2"/>
  <c r="R20" i="2"/>
  <c r="L20" i="2"/>
  <c r="J20" i="2"/>
  <c r="Q20" i="2"/>
  <c r="K20" i="2"/>
  <c r="P20" i="2"/>
  <c r="U20" i="2"/>
  <c r="N19" i="2"/>
  <c r="S19" i="2"/>
  <c r="M19" i="2"/>
  <c r="T19" i="2"/>
  <c r="R19" i="2"/>
  <c r="L19" i="2"/>
  <c r="Q19" i="2"/>
  <c r="K19" i="2"/>
  <c r="J19" i="2"/>
  <c r="P19" i="2"/>
  <c r="U19" i="2"/>
  <c r="T18" i="2"/>
  <c r="N18" i="2"/>
  <c r="S18" i="2"/>
  <c r="M18" i="2"/>
  <c r="R18" i="2"/>
  <c r="L18" i="2"/>
  <c r="Q18" i="2"/>
  <c r="K18" i="2"/>
  <c r="P18" i="2"/>
  <c r="U18" i="2"/>
  <c r="J36" i="2" l="1"/>
  <c r="P36" i="2"/>
  <c r="S36" i="2"/>
  <c r="K36" i="2"/>
  <c r="N36" i="2"/>
  <c r="Q36" i="2"/>
  <c r="T36" i="2"/>
  <c r="L36" i="2"/>
  <c r="O36" i="2"/>
  <c r="R36" i="2"/>
  <c r="U36" i="2"/>
  <c r="M36" i="2"/>
  <c r="J39" i="2" l="1"/>
</calcChain>
</file>

<file path=xl/sharedStrings.xml><?xml version="1.0" encoding="utf-8"?>
<sst xmlns="http://schemas.openxmlformats.org/spreadsheetml/2006/main" count="32" uniqueCount="30">
  <si>
    <t>a</t>
  </si>
  <si>
    <t>b</t>
  </si>
  <si>
    <t>c</t>
  </si>
  <si>
    <t>d</t>
  </si>
  <si>
    <t>e</t>
  </si>
  <si>
    <t>f</t>
  </si>
  <si>
    <t>g</t>
  </si>
  <si>
    <t>h</t>
  </si>
  <si>
    <t>i</t>
  </si>
  <si>
    <t>k</t>
  </si>
  <si>
    <t>l</t>
  </si>
  <si>
    <t>m</t>
  </si>
  <si>
    <t>n</t>
  </si>
  <si>
    <t>p</t>
  </si>
  <si>
    <t>j</t>
  </si>
  <si>
    <t>Total Cores</t>
  </si>
  <si>
    <t>Objective</t>
  </si>
  <si>
    <t>Job Name</t>
  </si>
  <si>
    <t>q</t>
  </si>
  <si>
    <t>r</t>
  </si>
  <si>
    <t>s</t>
  </si>
  <si>
    <t>t</t>
  </si>
  <si>
    <t>u</t>
  </si>
  <si>
    <t>v</t>
  </si>
  <si>
    <t>x</t>
  </si>
  <si>
    <t>z</t>
  </si>
  <si>
    <t>Start Time</t>
  </si>
  <si>
    <t>End Time</t>
  </si>
  <si>
    <t>Length (Hours)</t>
  </si>
  <si>
    <t>Cores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</si>
</sst>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rgb="FFFFFF00"/>
        <bgColor indexed="64"/>
      </patternFill>
    </fill>
    <fill>
      <patternFill patternType="solid">
        <fgColor theme="9" tint="0.39997558519241921"/>
        <bgColor indexed="64"/>
      </patternFill>
    </fill>
  </fills>
  <borders count="8">
    <border>
      <left/>
      <right/>
      <top/>
      <bottom/>
      <diagonal/>
    </border>
    <border>
      <left/>
      <right/>
      <top style="thin">
        <color indexed="64"/>
      </top>
      <bottom/>
      <diagonal/>
    </border>
    <border>
      <left style="thin">
        <color indexed="64"/>
      </left>
      <right/>
      <top/>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medium">
        <color indexed="64"/>
      </bottom>
      <diagonal/>
    </border>
  </borders>
  <cellStyleXfs count="1">
    <xf numFmtId="0" fontId="0" fillId="0" borderId="0"/>
  </cellStyleXfs>
  <cellXfs count="12">
    <xf numFmtId="0" fontId="0" fillId="0" borderId="0" xfId="0"/>
    <xf numFmtId="0" fontId="0" fillId="2" borderId="0" xfId="0" applyFill="1"/>
    <xf numFmtId="0" fontId="0" fillId="0" borderId="1" xfId="0" applyBorder="1"/>
    <xf numFmtId="0" fontId="0" fillId="0" borderId="2" xfId="0" applyBorder="1"/>
    <xf numFmtId="0" fontId="0" fillId="0" borderId="0" xfId="0" applyBorder="1"/>
    <xf numFmtId="0" fontId="0" fillId="3" borderId="0" xfId="0" applyFill="1" applyBorder="1"/>
    <xf numFmtId="0" fontId="0" fillId="0" borderId="3" xfId="0" applyBorder="1"/>
    <xf numFmtId="0" fontId="1" fillId="0" borderId="4" xfId="0" applyFont="1" applyBorder="1"/>
    <xf numFmtId="0" fontId="1" fillId="0" borderId="5" xfId="0" applyFont="1" applyBorder="1"/>
    <xf numFmtId="0" fontId="1" fillId="0" borderId="6" xfId="0" applyFont="1" applyBorder="1"/>
    <xf numFmtId="0" fontId="0" fillId="0" borderId="7" xfId="0" applyBorder="1"/>
    <xf numFmtId="0" fontId="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6350</xdr:rowOff>
        </xdr:from>
        <xdr:to>
          <xdr:col>3</xdr:col>
          <xdr:colOff>12700</xdr:colOff>
          <xdr:row>4</xdr:row>
          <xdr:rowOff>177800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6350</xdr:colOff>
          <xdr:row>1</xdr:row>
          <xdr:rowOff>12700</xdr:rowOff>
        </xdr:from>
        <xdr:to>
          <xdr:col>6</xdr:col>
          <xdr:colOff>6350</xdr:colOff>
          <xdr:row>5</xdr:row>
          <xdr:rowOff>19050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Delete Job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6350</xdr:rowOff>
        </xdr:from>
        <xdr:to>
          <xdr:col>9</xdr:col>
          <xdr:colOff>12700</xdr:colOff>
          <xdr:row>4</xdr:row>
          <xdr:rowOff>171450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Randomize Start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647700</xdr:colOff>
          <xdr:row>1</xdr:row>
          <xdr:rowOff>6350</xdr:rowOff>
        </xdr:from>
        <xdr:to>
          <xdr:col>12</xdr:col>
          <xdr:colOff>0</xdr:colOff>
          <xdr:row>5</xdr:row>
          <xdr:rowOff>12700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Optimize Job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1</xdr:row>
          <xdr:rowOff>6350</xdr:rowOff>
        </xdr:from>
        <xdr:to>
          <xdr:col>15</xdr:col>
          <xdr:colOff>12700</xdr:colOff>
          <xdr:row>5</xdr:row>
          <xdr:rowOff>19050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Plot Job Run</a:t>
              </a:r>
            </a:p>
          </xdr:txBody>
        </xdr:sp>
        <xdr:clientData fPrintsWithSheet="0"/>
      </xdr:twoCellAnchor>
    </mc:Choice>
    <mc:Fallback/>
  </mc:AlternateContent>
  <xdr:twoCellAnchor>
    <xdr:from>
      <xdr:col>21</xdr:col>
      <xdr:colOff>315685</xdr:colOff>
      <xdr:row>8</xdr:row>
      <xdr:rowOff>163287</xdr:rowOff>
    </xdr:from>
    <xdr:to>
      <xdr:col>31</xdr:col>
      <xdr:colOff>424543</xdr:colOff>
      <xdr:row>39</xdr:row>
      <xdr:rowOff>87086</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4091556" y="2754087"/>
          <a:ext cx="6640287" cy="56768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Fleet Numerical Meteorology</a:t>
          </a:r>
          <a:r>
            <a:rPr lang="en-US" sz="1100" baseline="0"/>
            <a:t> and Oceanography Center (FNMOC) has six high performance computer clusters which consist of hundreds of compute nodes (cores). The clusters run hundreds of ocean and weather models each day. There are two identical 12-hour job runs performed each day. Each job runs on a certain number of cores (nodes) and for a specific length of time. This project will simulate optimizing a simplified job run to minimize number of maximum cores used over a 1 hour period during the 12-hour job run.  This would represent the number of compute nodes needed the purchase in the cluster for this hypothetical job run.</a:t>
          </a:r>
        </a:p>
        <a:p>
          <a:endParaRPr lang="en-US" sz="1100" baseline="0"/>
        </a:p>
        <a:p>
          <a:r>
            <a:rPr lang="en-US" sz="1100" b="1" baseline="0"/>
            <a:t>Data Representation:</a:t>
          </a:r>
        </a:p>
        <a:p>
          <a:r>
            <a:rPr lang="en-US" sz="1100" baseline="0"/>
            <a:t>On the leftmost group, each row represents 1 job.  There are 5 columns. One for the name of each job (Job Name), the number of cores the job uses (Cores), how long each job runs in hours (Length), what hour the job starts (Start Time) and the hour the job ends (End Time). If the start and end time of a job are 1 and 4 respectively, then the job starts at 0100 and ends at 0459. The group of data on the right represents the hours the job is running in binary. 1 means the job is running during that hour.  The Total Cores line is a total of the number of cores used during that hour. The objective cell is the maximum cores used during any 1 hour period. </a:t>
          </a:r>
        </a:p>
        <a:p>
          <a:endParaRPr lang="en-US" sz="1100" baseline="0"/>
        </a:p>
        <a:p>
          <a:r>
            <a:rPr lang="en-US" sz="1100" b="1" baseline="0"/>
            <a:t>Buttons:</a:t>
          </a:r>
        </a:p>
        <a:p>
          <a:r>
            <a:rPr lang="en-US" sz="1100" b="1" baseline="0"/>
            <a:t>Add Job: </a:t>
          </a:r>
          <a:r>
            <a:rPr lang="en-US" sz="1100" baseline="0"/>
            <a:t>Allows user to dynamically add a new job. The user will be asked for the job's name, number of cores it uses, and the number of hours the job runs.</a:t>
          </a:r>
        </a:p>
        <a:p>
          <a:endParaRPr lang="en-US" sz="1100" baseline="0"/>
        </a:p>
        <a:p>
          <a:r>
            <a:rPr lang="en-US" sz="1100" b="1" baseline="0"/>
            <a:t>Delete Job: </a:t>
          </a:r>
          <a:r>
            <a:rPr lang="en-US" sz="1100" baseline="0"/>
            <a:t>The user can delete any jobs. She will be asked for the name of a job. If it exists, the job will be deleted.</a:t>
          </a:r>
        </a:p>
        <a:p>
          <a:endParaRPr lang="en-US" sz="1100" baseline="0"/>
        </a:p>
        <a:p>
          <a:r>
            <a:rPr lang="en-US" sz="1100" b="1" baseline="0"/>
            <a:t>Randomize Start Times: </a:t>
          </a:r>
          <a:r>
            <a:rPr lang="en-US" sz="1100" baseline="0"/>
            <a:t>This will give a random start time to all jobs. Pressing this button shows if a decent objective can be found without optimizing. </a:t>
          </a:r>
        </a:p>
        <a:p>
          <a:endParaRPr lang="en-US" sz="1100" baseline="0"/>
        </a:p>
        <a:p>
          <a:r>
            <a:rPr lang="en-US" sz="1100" b="1" baseline="0"/>
            <a:t>Optimize Job Run: </a:t>
          </a:r>
          <a:r>
            <a:rPr lang="en-US" sz="1100" baseline="0"/>
            <a:t>Using the Evolutionary algorithm this will optimize the job run by minimizing the maximum number of cores used during a 12-hour job run. This will typically take about a minute to run. Stop anytime by hitting "Esc".</a:t>
          </a:r>
        </a:p>
        <a:p>
          <a:endParaRPr lang="en-US" sz="1100" baseline="0"/>
        </a:p>
        <a:p>
          <a:r>
            <a:rPr lang="en-US" sz="1100" b="1" baseline="0"/>
            <a:t>Plot Job Run: </a:t>
          </a:r>
          <a:r>
            <a:rPr lang="en-US" sz="1100" baseline="0"/>
            <a:t>This plots the job run showing the number of nodes used during each hour.</a:t>
          </a:r>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6F65B-6836-43B4-84FF-98A7E962CAD4}">
  <sheetPr codeName="wsData"/>
  <dimension ref="B9:U39"/>
  <sheetViews>
    <sheetView tabSelected="1" topLeftCell="O1" workbookViewId="0">
      <selection activeCell="H26" sqref="H26"/>
    </sheetView>
  </sheetViews>
  <sheetFormatPr defaultRowHeight="14.5" x14ac:dyDescent="0.35"/>
  <cols>
    <col min="9" max="9" width="10.08984375" bestFit="1" customWidth="1"/>
  </cols>
  <sheetData>
    <row r="9" spans="2:21" ht="15" thickBot="1" x14ac:dyDescent="0.4"/>
    <row r="10" spans="2:21" ht="15" thickBot="1" x14ac:dyDescent="0.4">
      <c r="B10" s="7" t="s">
        <v>17</v>
      </c>
      <c r="C10" s="8" t="s">
        <v>29</v>
      </c>
      <c r="D10" s="8" t="s">
        <v>28</v>
      </c>
      <c r="E10" s="8" t="s">
        <v>26</v>
      </c>
      <c r="F10" s="9" t="s">
        <v>27</v>
      </c>
      <c r="J10" s="7">
        <v>0</v>
      </c>
      <c r="K10" s="8">
        <v>1</v>
      </c>
      <c r="L10" s="8">
        <v>2</v>
      </c>
      <c r="M10" s="8">
        <v>3</v>
      </c>
      <c r="N10" s="8">
        <v>4</v>
      </c>
      <c r="O10" s="8">
        <v>5</v>
      </c>
      <c r="P10" s="8">
        <v>6</v>
      </c>
      <c r="Q10" s="8">
        <v>7</v>
      </c>
      <c r="R10" s="8">
        <v>8</v>
      </c>
      <c r="S10" s="8">
        <v>9</v>
      </c>
      <c r="T10" s="8">
        <v>10</v>
      </c>
      <c r="U10" s="9">
        <v>11</v>
      </c>
    </row>
    <row r="11" spans="2:21" x14ac:dyDescent="0.35">
      <c r="B11" s="3" t="s">
        <v>0</v>
      </c>
      <c r="C11" s="4">
        <v>8</v>
      </c>
      <c r="D11" s="4">
        <v>2</v>
      </c>
      <c r="E11" s="5">
        <v>3</v>
      </c>
      <c r="F11" s="6">
        <f t="shared" ref="F11:F28" si="0">(E11+(D11-1))</f>
        <v>4</v>
      </c>
      <c r="J11" s="3">
        <f t="shared" ref="J11:U35" si="1">IF(AND(J$10 &gt;= $E11, J$10 &lt;= $F11), 1,0)</f>
        <v>0</v>
      </c>
      <c r="K11" s="4">
        <f t="shared" si="1"/>
        <v>0</v>
      </c>
      <c r="L11" s="4">
        <f t="shared" si="1"/>
        <v>0</v>
      </c>
      <c r="M11" s="4">
        <f t="shared" si="1"/>
        <v>1</v>
      </c>
      <c r="N11" s="4">
        <f t="shared" si="1"/>
        <v>1</v>
      </c>
      <c r="O11" s="4">
        <f t="shared" si="1"/>
        <v>0</v>
      </c>
      <c r="P11" s="4">
        <f t="shared" si="1"/>
        <v>0</v>
      </c>
      <c r="Q11" s="4">
        <f t="shared" si="1"/>
        <v>0</v>
      </c>
      <c r="R11" s="4">
        <f t="shared" si="1"/>
        <v>0</v>
      </c>
      <c r="S11" s="4">
        <f t="shared" si="1"/>
        <v>0</v>
      </c>
      <c r="T11" s="4">
        <f t="shared" si="1"/>
        <v>0</v>
      </c>
      <c r="U11" s="6">
        <f t="shared" si="1"/>
        <v>0</v>
      </c>
    </row>
    <row r="12" spans="2:21" x14ac:dyDescent="0.35">
      <c r="B12" s="3" t="s">
        <v>1</v>
      </c>
      <c r="C12" s="4">
        <v>4</v>
      </c>
      <c r="D12" s="4">
        <v>4</v>
      </c>
      <c r="E12" s="5">
        <v>0</v>
      </c>
      <c r="F12" s="6">
        <f t="shared" si="0"/>
        <v>3</v>
      </c>
      <c r="J12" s="3">
        <f t="shared" si="1"/>
        <v>1</v>
      </c>
      <c r="K12" s="4">
        <f t="shared" si="1"/>
        <v>1</v>
      </c>
      <c r="L12" s="4">
        <f t="shared" si="1"/>
        <v>1</v>
      </c>
      <c r="M12" s="4">
        <f t="shared" si="1"/>
        <v>1</v>
      </c>
      <c r="N12" s="4">
        <f t="shared" si="1"/>
        <v>0</v>
      </c>
      <c r="O12" s="4">
        <f t="shared" si="1"/>
        <v>0</v>
      </c>
      <c r="P12" s="4">
        <f t="shared" si="1"/>
        <v>0</v>
      </c>
      <c r="Q12" s="4">
        <f t="shared" si="1"/>
        <v>0</v>
      </c>
      <c r="R12" s="4">
        <f t="shared" si="1"/>
        <v>0</v>
      </c>
      <c r="S12" s="4">
        <f t="shared" si="1"/>
        <v>0</v>
      </c>
      <c r="T12" s="4">
        <f t="shared" si="1"/>
        <v>0</v>
      </c>
      <c r="U12" s="6">
        <f t="shared" si="1"/>
        <v>0</v>
      </c>
    </row>
    <row r="13" spans="2:21" x14ac:dyDescent="0.35">
      <c r="B13" s="3" t="s">
        <v>2</v>
      </c>
      <c r="C13" s="4">
        <v>2</v>
      </c>
      <c r="D13" s="4">
        <v>4</v>
      </c>
      <c r="E13" s="5">
        <v>8</v>
      </c>
      <c r="F13" s="6">
        <f t="shared" si="0"/>
        <v>11</v>
      </c>
      <c r="J13" s="3">
        <f t="shared" si="1"/>
        <v>0</v>
      </c>
      <c r="K13" s="4">
        <f t="shared" si="1"/>
        <v>0</v>
      </c>
      <c r="L13" s="4">
        <f t="shared" si="1"/>
        <v>0</v>
      </c>
      <c r="M13" s="4">
        <f t="shared" si="1"/>
        <v>0</v>
      </c>
      <c r="N13" s="4">
        <f t="shared" si="1"/>
        <v>0</v>
      </c>
      <c r="O13" s="4">
        <f t="shared" si="1"/>
        <v>0</v>
      </c>
      <c r="P13" s="4">
        <f t="shared" si="1"/>
        <v>0</v>
      </c>
      <c r="Q13" s="4">
        <f t="shared" si="1"/>
        <v>0</v>
      </c>
      <c r="R13" s="4">
        <f t="shared" si="1"/>
        <v>1</v>
      </c>
      <c r="S13" s="4">
        <f t="shared" si="1"/>
        <v>1</v>
      </c>
      <c r="T13" s="4">
        <f t="shared" si="1"/>
        <v>1</v>
      </c>
      <c r="U13" s="6">
        <f t="shared" si="1"/>
        <v>1</v>
      </c>
    </row>
    <row r="14" spans="2:21" x14ac:dyDescent="0.35">
      <c r="B14" s="3" t="s">
        <v>3</v>
      </c>
      <c r="C14" s="4">
        <v>1</v>
      </c>
      <c r="D14" s="4">
        <v>2</v>
      </c>
      <c r="E14" s="5">
        <v>7</v>
      </c>
      <c r="F14" s="6">
        <f t="shared" si="0"/>
        <v>8</v>
      </c>
      <c r="J14" s="3">
        <f t="shared" si="1"/>
        <v>0</v>
      </c>
      <c r="K14" s="4">
        <f t="shared" si="1"/>
        <v>0</v>
      </c>
      <c r="L14" s="4">
        <f t="shared" si="1"/>
        <v>0</v>
      </c>
      <c r="M14" s="4">
        <f t="shared" si="1"/>
        <v>0</v>
      </c>
      <c r="N14" s="4">
        <f t="shared" si="1"/>
        <v>0</v>
      </c>
      <c r="O14" s="4">
        <f t="shared" si="1"/>
        <v>0</v>
      </c>
      <c r="P14" s="4">
        <f t="shared" si="1"/>
        <v>0</v>
      </c>
      <c r="Q14" s="4">
        <f t="shared" si="1"/>
        <v>1</v>
      </c>
      <c r="R14" s="4">
        <f t="shared" si="1"/>
        <v>1</v>
      </c>
      <c r="S14" s="4">
        <f t="shared" si="1"/>
        <v>0</v>
      </c>
      <c r="T14" s="4">
        <f t="shared" si="1"/>
        <v>0</v>
      </c>
      <c r="U14" s="6">
        <f t="shared" si="1"/>
        <v>0</v>
      </c>
    </row>
    <row r="15" spans="2:21" x14ac:dyDescent="0.35">
      <c r="B15" s="3" t="s">
        <v>4</v>
      </c>
      <c r="C15" s="4">
        <v>4</v>
      </c>
      <c r="D15" s="4">
        <v>2</v>
      </c>
      <c r="E15" s="5">
        <v>3</v>
      </c>
      <c r="F15" s="6">
        <f t="shared" si="0"/>
        <v>4</v>
      </c>
      <c r="J15" s="3">
        <f t="shared" si="1"/>
        <v>0</v>
      </c>
      <c r="K15" s="4">
        <f t="shared" si="1"/>
        <v>0</v>
      </c>
      <c r="L15" s="4">
        <f t="shared" si="1"/>
        <v>0</v>
      </c>
      <c r="M15" s="4">
        <f t="shared" si="1"/>
        <v>1</v>
      </c>
      <c r="N15" s="4">
        <f t="shared" si="1"/>
        <v>1</v>
      </c>
      <c r="O15" s="4">
        <f t="shared" si="1"/>
        <v>0</v>
      </c>
      <c r="P15" s="4">
        <f t="shared" si="1"/>
        <v>0</v>
      </c>
      <c r="Q15" s="4">
        <f t="shared" si="1"/>
        <v>0</v>
      </c>
      <c r="R15" s="4">
        <f t="shared" si="1"/>
        <v>0</v>
      </c>
      <c r="S15" s="4">
        <f t="shared" si="1"/>
        <v>0</v>
      </c>
      <c r="T15" s="4">
        <f t="shared" si="1"/>
        <v>0</v>
      </c>
      <c r="U15" s="6">
        <f t="shared" si="1"/>
        <v>0</v>
      </c>
    </row>
    <row r="16" spans="2:21" x14ac:dyDescent="0.35">
      <c r="B16" s="3" t="s">
        <v>5</v>
      </c>
      <c r="C16" s="4">
        <v>6</v>
      </c>
      <c r="D16" s="4">
        <v>5</v>
      </c>
      <c r="E16" s="5">
        <v>7</v>
      </c>
      <c r="F16" s="6">
        <f t="shared" si="0"/>
        <v>11</v>
      </c>
      <c r="J16" s="3">
        <f t="shared" si="1"/>
        <v>0</v>
      </c>
      <c r="K16" s="4">
        <f t="shared" si="1"/>
        <v>0</v>
      </c>
      <c r="L16" s="4">
        <f t="shared" si="1"/>
        <v>0</v>
      </c>
      <c r="M16" s="4">
        <f t="shared" si="1"/>
        <v>0</v>
      </c>
      <c r="N16" s="4">
        <f t="shared" si="1"/>
        <v>0</v>
      </c>
      <c r="O16" s="4">
        <f t="shared" si="1"/>
        <v>0</v>
      </c>
      <c r="P16" s="4">
        <f t="shared" si="1"/>
        <v>0</v>
      </c>
      <c r="Q16" s="4">
        <f t="shared" si="1"/>
        <v>1</v>
      </c>
      <c r="R16" s="4">
        <f t="shared" si="1"/>
        <v>1</v>
      </c>
      <c r="S16" s="4">
        <f t="shared" si="1"/>
        <v>1</v>
      </c>
      <c r="T16" s="4">
        <f t="shared" si="1"/>
        <v>1</v>
      </c>
      <c r="U16" s="6">
        <f t="shared" si="1"/>
        <v>1</v>
      </c>
    </row>
    <row r="17" spans="2:21" x14ac:dyDescent="0.35">
      <c r="B17" s="3" t="s">
        <v>6</v>
      </c>
      <c r="C17" s="4">
        <v>8</v>
      </c>
      <c r="D17" s="4">
        <v>4</v>
      </c>
      <c r="E17" s="5">
        <v>6</v>
      </c>
      <c r="F17" s="6">
        <f t="shared" si="0"/>
        <v>9</v>
      </c>
      <c r="J17" s="3">
        <f t="shared" si="1"/>
        <v>0</v>
      </c>
      <c r="K17" s="4">
        <f t="shared" si="1"/>
        <v>0</v>
      </c>
      <c r="L17" s="4">
        <f t="shared" si="1"/>
        <v>0</v>
      </c>
      <c r="M17" s="4">
        <f t="shared" si="1"/>
        <v>0</v>
      </c>
      <c r="N17" s="4">
        <f t="shared" si="1"/>
        <v>0</v>
      </c>
      <c r="O17" s="4">
        <f t="shared" si="1"/>
        <v>0</v>
      </c>
      <c r="P17" s="4">
        <f t="shared" si="1"/>
        <v>1</v>
      </c>
      <c r="Q17" s="4">
        <f t="shared" si="1"/>
        <v>1</v>
      </c>
      <c r="R17" s="4">
        <f t="shared" si="1"/>
        <v>1</v>
      </c>
      <c r="S17" s="4">
        <f t="shared" si="1"/>
        <v>1</v>
      </c>
      <c r="T17" s="4">
        <f t="shared" si="1"/>
        <v>0</v>
      </c>
      <c r="U17" s="6">
        <f t="shared" si="1"/>
        <v>0</v>
      </c>
    </row>
    <row r="18" spans="2:21" x14ac:dyDescent="0.35">
      <c r="B18" s="3" t="s">
        <v>7</v>
      </c>
      <c r="C18" s="4">
        <v>10</v>
      </c>
      <c r="D18" s="4">
        <v>1</v>
      </c>
      <c r="E18" s="5">
        <v>2</v>
      </c>
      <c r="F18" s="6">
        <f t="shared" si="0"/>
        <v>2</v>
      </c>
      <c r="J18" s="3">
        <f t="shared" si="1"/>
        <v>0</v>
      </c>
      <c r="K18" s="4">
        <f t="shared" si="1"/>
        <v>0</v>
      </c>
      <c r="L18" s="4">
        <f t="shared" si="1"/>
        <v>1</v>
      </c>
      <c r="M18" s="4">
        <f t="shared" si="1"/>
        <v>0</v>
      </c>
      <c r="N18" s="4">
        <f t="shared" si="1"/>
        <v>0</v>
      </c>
      <c r="O18" s="4">
        <f t="shared" si="1"/>
        <v>0</v>
      </c>
      <c r="P18" s="4">
        <f t="shared" si="1"/>
        <v>0</v>
      </c>
      <c r="Q18" s="4">
        <f t="shared" si="1"/>
        <v>0</v>
      </c>
      <c r="R18" s="4">
        <f t="shared" si="1"/>
        <v>0</v>
      </c>
      <c r="S18" s="4">
        <f t="shared" si="1"/>
        <v>0</v>
      </c>
      <c r="T18" s="4">
        <f t="shared" si="1"/>
        <v>0</v>
      </c>
      <c r="U18" s="6">
        <f t="shared" si="1"/>
        <v>0</v>
      </c>
    </row>
    <row r="19" spans="2:21" x14ac:dyDescent="0.35">
      <c r="B19" s="3" t="s">
        <v>8</v>
      </c>
      <c r="C19" s="4">
        <v>12</v>
      </c>
      <c r="D19" s="4">
        <v>4</v>
      </c>
      <c r="E19" s="5">
        <v>2</v>
      </c>
      <c r="F19" s="6">
        <f t="shared" si="0"/>
        <v>5</v>
      </c>
      <c r="J19" s="3">
        <f t="shared" si="1"/>
        <v>0</v>
      </c>
      <c r="K19" s="4">
        <f t="shared" si="1"/>
        <v>0</v>
      </c>
      <c r="L19" s="4">
        <f t="shared" si="1"/>
        <v>1</v>
      </c>
      <c r="M19" s="4">
        <f t="shared" si="1"/>
        <v>1</v>
      </c>
      <c r="N19" s="4">
        <f t="shared" si="1"/>
        <v>1</v>
      </c>
      <c r="O19" s="4">
        <f t="shared" si="1"/>
        <v>1</v>
      </c>
      <c r="P19" s="4">
        <f t="shared" si="1"/>
        <v>0</v>
      </c>
      <c r="Q19" s="4">
        <f t="shared" si="1"/>
        <v>0</v>
      </c>
      <c r="R19" s="4">
        <f t="shared" si="1"/>
        <v>0</v>
      </c>
      <c r="S19" s="4">
        <f t="shared" si="1"/>
        <v>0</v>
      </c>
      <c r="T19" s="4">
        <f t="shared" si="1"/>
        <v>0</v>
      </c>
      <c r="U19" s="6">
        <f t="shared" si="1"/>
        <v>0</v>
      </c>
    </row>
    <row r="20" spans="2:21" x14ac:dyDescent="0.35">
      <c r="B20" s="3" t="s">
        <v>14</v>
      </c>
      <c r="C20" s="4">
        <v>16</v>
      </c>
      <c r="D20" s="4">
        <v>3</v>
      </c>
      <c r="E20" s="5">
        <v>3</v>
      </c>
      <c r="F20" s="6">
        <f t="shared" si="0"/>
        <v>5</v>
      </c>
      <c r="J20" s="3">
        <f t="shared" si="1"/>
        <v>0</v>
      </c>
      <c r="K20" s="4">
        <f t="shared" si="1"/>
        <v>0</v>
      </c>
      <c r="L20" s="4">
        <f t="shared" si="1"/>
        <v>0</v>
      </c>
      <c r="M20" s="4">
        <f t="shared" si="1"/>
        <v>1</v>
      </c>
      <c r="N20" s="4">
        <f t="shared" si="1"/>
        <v>1</v>
      </c>
      <c r="O20" s="4">
        <f t="shared" si="1"/>
        <v>1</v>
      </c>
      <c r="P20" s="4">
        <f t="shared" si="1"/>
        <v>0</v>
      </c>
      <c r="Q20" s="4">
        <f t="shared" si="1"/>
        <v>0</v>
      </c>
      <c r="R20" s="4">
        <f t="shared" si="1"/>
        <v>0</v>
      </c>
      <c r="S20" s="4">
        <f t="shared" si="1"/>
        <v>0</v>
      </c>
      <c r="T20" s="4">
        <f t="shared" si="1"/>
        <v>0</v>
      </c>
      <c r="U20" s="6">
        <f t="shared" si="1"/>
        <v>0</v>
      </c>
    </row>
    <row r="21" spans="2:21" x14ac:dyDescent="0.35">
      <c r="B21" s="3" t="s">
        <v>9</v>
      </c>
      <c r="C21" s="4">
        <v>20</v>
      </c>
      <c r="D21" s="4">
        <v>4</v>
      </c>
      <c r="E21" s="5">
        <v>8</v>
      </c>
      <c r="F21" s="6">
        <f t="shared" si="0"/>
        <v>11</v>
      </c>
      <c r="J21" s="3">
        <f t="shared" si="1"/>
        <v>0</v>
      </c>
      <c r="K21" s="4">
        <f t="shared" si="1"/>
        <v>0</v>
      </c>
      <c r="L21" s="4">
        <f t="shared" si="1"/>
        <v>0</v>
      </c>
      <c r="M21" s="4">
        <f t="shared" si="1"/>
        <v>0</v>
      </c>
      <c r="N21" s="4">
        <f t="shared" si="1"/>
        <v>0</v>
      </c>
      <c r="O21" s="4">
        <f t="shared" si="1"/>
        <v>0</v>
      </c>
      <c r="P21" s="4">
        <f t="shared" si="1"/>
        <v>0</v>
      </c>
      <c r="Q21" s="4">
        <f t="shared" si="1"/>
        <v>0</v>
      </c>
      <c r="R21" s="4">
        <f t="shared" si="1"/>
        <v>1</v>
      </c>
      <c r="S21" s="4">
        <f t="shared" si="1"/>
        <v>1</v>
      </c>
      <c r="T21" s="4">
        <f t="shared" si="1"/>
        <v>1</v>
      </c>
      <c r="U21" s="6">
        <f t="shared" si="1"/>
        <v>1</v>
      </c>
    </row>
    <row r="22" spans="2:21" x14ac:dyDescent="0.35">
      <c r="B22" s="3" t="s">
        <v>10</v>
      </c>
      <c r="C22" s="4">
        <v>8</v>
      </c>
      <c r="D22" s="4">
        <v>6</v>
      </c>
      <c r="E22" s="5">
        <v>4</v>
      </c>
      <c r="F22" s="6">
        <f t="shared" si="0"/>
        <v>9</v>
      </c>
      <c r="J22" s="3">
        <f t="shared" si="1"/>
        <v>0</v>
      </c>
      <c r="K22" s="4">
        <f t="shared" si="1"/>
        <v>0</v>
      </c>
      <c r="L22" s="4">
        <f t="shared" si="1"/>
        <v>0</v>
      </c>
      <c r="M22" s="4">
        <f t="shared" si="1"/>
        <v>0</v>
      </c>
      <c r="N22" s="4">
        <f t="shared" si="1"/>
        <v>1</v>
      </c>
      <c r="O22" s="4">
        <f t="shared" si="1"/>
        <v>1</v>
      </c>
      <c r="P22" s="4">
        <f t="shared" si="1"/>
        <v>1</v>
      </c>
      <c r="Q22" s="4">
        <f t="shared" si="1"/>
        <v>1</v>
      </c>
      <c r="R22" s="4">
        <f t="shared" si="1"/>
        <v>1</v>
      </c>
      <c r="S22" s="4">
        <f t="shared" si="1"/>
        <v>1</v>
      </c>
      <c r="T22" s="4">
        <f t="shared" si="1"/>
        <v>0</v>
      </c>
      <c r="U22" s="6">
        <f t="shared" si="1"/>
        <v>0</v>
      </c>
    </row>
    <row r="23" spans="2:21" x14ac:dyDescent="0.35">
      <c r="B23" s="3" t="s">
        <v>11</v>
      </c>
      <c r="C23" s="4">
        <v>4</v>
      </c>
      <c r="D23" s="4">
        <v>2</v>
      </c>
      <c r="E23" s="5">
        <v>6</v>
      </c>
      <c r="F23" s="6">
        <f t="shared" si="0"/>
        <v>7</v>
      </c>
      <c r="J23" s="3">
        <f t="shared" si="1"/>
        <v>0</v>
      </c>
      <c r="K23" s="4">
        <f t="shared" si="1"/>
        <v>0</v>
      </c>
      <c r="L23" s="4">
        <f t="shared" si="1"/>
        <v>0</v>
      </c>
      <c r="M23" s="4">
        <f t="shared" si="1"/>
        <v>0</v>
      </c>
      <c r="N23" s="4">
        <f t="shared" si="1"/>
        <v>0</v>
      </c>
      <c r="O23" s="4">
        <f t="shared" si="1"/>
        <v>0</v>
      </c>
      <c r="P23" s="4">
        <f t="shared" si="1"/>
        <v>1</v>
      </c>
      <c r="Q23" s="4">
        <f t="shared" si="1"/>
        <v>1</v>
      </c>
      <c r="R23" s="4">
        <f t="shared" si="1"/>
        <v>0</v>
      </c>
      <c r="S23" s="4">
        <f t="shared" si="1"/>
        <v>0</v>
      </c>
      <c r="T23" s="4">
        <f t="shared" si="1"/>
        <v>0</v>
      </c>
      <c r="U23" s="6">
        <f t="shared" si="1"/>
        <v>0</v>
      </c>
    </row>
    <row r="24" spans="2:21" x14ac:dyDescent="0.35">
      <c r="B24" s="3" t="s">
        <v>12</v>
      </c>
      <c r="C24" s="4">
        <v>4</v>
      </c>
      <c r="D24" s="4">
        <v>1</v>
      </c>
      <c r="E24" s="5">
        <v>1</v>
      </c>
      <c r="F24" s="6">
        <f t="shared" si="0"/>
        <v>1</v>
      </c>
      <c r="J24" s="3">
        <f t="shared" si="1"/>
        <v>0</v>
      </c>
      <c r="K24" s="4">
        <f t="shared" si="1"/>
        <v>1</v>
      </c>
      <c r="L24" s="4">
        <f t="shared" si="1"/>
        <v>0</v>
      </c>
      <c r="M24" s="4">
        <f t="shared" si="1"/>
        <v>0</v>
      </c>
      <c r="N24" s="4">
        <f t="shared" si="1"/>
        <v>0</v>
      </c>
      <c r="O24" s="4">
        <f t="shared" si="1"/>
        <v>0</v>
      </c>
      <c r="P24" s="4">
        <f t="shared" si="1"/>
        <v>0</v>
      </c>
      <c r="Q24" s="4">
        <f t="shared" si="1"/>
        <v>0</v>
      </c>
      <c r="R24" s="4">
        <f t="shared" si="1"/>
        <v>0</v>
      </c>
      <c r="S24" s="4">
        <f t="shared" si="1"/>
        <v>0</v>
      </c>
      <c r="T24" s="4">
        <f t="shared" si="1"/>
        <v>0</v>
      </c>
      <c r="U24" s="6">
        <f t="shared" si="1"/>
        <v>0</v>
      </c>
    </row>
    <row r="25" spans="2:21" x14ac:dyDescent="0.35">
      <c r="B25" s="3" t="s">
        <v>13</v>
      </c>
      <c r="C25" s="4">
        <v>8</v>
      </c>
      <c r="D25" s="4">
        <v>3</v>
      </c>
      <c r="E25" s="5">
        <v>6</v>
      </c>
      <c r="F25" s="6">
        <f t="shared" si="0"/>
        <v>8</v>
      </c>
      <c r="J25" s="3">
        <f t="shared" si="1"/>
        <v>0</v>
      </c>
      <c r="K25" s="4">
        <f t="shared" si="1"/>
        <v>0</v>
      </c>
      <c r="L25" s="4">
        <f t="shared" si="1"/>
        <v>0</v>
      </c>
      <c r="M25" s="4">
        <f t="shared" si="1"/>
        <v>0</v>
      </c>
      <c r="N25" s="4">
        <f t="shared" si="1"/>
        <v>0</v>
      </c>
      <c r="O25" s="4">
        <f t="shared" si="1"/>
        <v>0</v>
      </c>
      <c r="P25" s="4">
        <f t="shared" si="1"/>
        <v>1</v>
      </c>
      <c r="Q25" s="4">
        <f t="shared" si="1"/>
        <v>1</v>
      </c>
      <c r="R25" s="4">
        <f t="shared" si="1"/>
        <v>1</v>
      </c>
      <c r="S25" s="4">
        <f t="shared" si="1"/>
        <v>0</v>
      </c>
      <c r="T25" s="4">
        <f t="shared" si="1"/>
        <v>0</v>
      </c>
      <c r="U25" s="6">
        <f t="shared" si="1"/>
        <v>0</v>
      </c>
    </row>
    <row r="26" spans="2:21" x14ac:dyDescent="0.35">
      <c r="B26" s="3" t="s">
        <v>18</v>
      </c>
      <c r="C26" s="4">
        <v>10</v>
      </c>
      <c r="D26" s="4">
        <v>4</v>
      </c>
      <c r="E26" s="5">
        <v>7</v>
      </c>
      <c r="F26" s="6">
        <f t="shared" si="0"/>
        <v>10</v>
      </c>
      <c r="J26" s="3">
        <f t="shared" si="1"/>
        <v>0</v>
      </c>
      <c r="K26" s="4">
        <f t="shared" si="1"/>
        <v>0</v>
      </c>
      <c r="L26" s="4">
        <f t="shared" si="1"/>
        <v>0</v>
      </c>
      <c r="M26" s="4">
        <f t="shared" si="1"/>
        <v>0</v>
      </c>
      <c r="N26" s="4">
        <f t="shared" si="1"/>
        <v>0</v>
      </c>
      <c r="O26" s="4">
        <f t="shared" si="1"/>
        <v>0</v>
      </c>
      <c r="P26" s="4">
        <f t="shared" si="1"/>
        <v>0</v>
      </c>
      <c r="Q26" s="4">
        <f t="shared" si="1"/>
        <v>1</v>
      </c>
      <c r="R26" s="4">
        <f t="shared" si="1"/>
        <v>1</v>
      </c>
      <c r="S26" s="4">
        <f t="shared" si="1"/>
        <v>1</v>
      </c>
      <c r="T26" s="4">
        <f t="shared" si="1"/>
        <v>1</v>
      </c>
      <c r="U26" s="6">
        <f t="shared" si="1"/>
        <v>0</v>
      </c>
    </row>
    <row r="27" spans="2:21" x14ac:dyDescent="0.35">
      <c r="B27" s="3" t="s">
        <v>19</v>
      </c>
      <c r="C27" s="4">
        <v>2</v>
      </c>
      <c r="D27" s="4">
        <v>5</v>
      </c>
      <c r="E27" s="5">
        <v>6</v>
      </c>
      <c r="F27" s="6">
        <f t="shared" si="0"/>
        <v>10</v>
      </c>
      <c r="J27" s="3">
        <f t="shared" si="1"/>
        <v>0</v>
      </c>
      <c r="K27" s="4">
        <f t="shared" si="1"/>
        <v>0</v>
      </c>
      <c r="L27" s="4">
        <f t="shared" si="1"/>
        <v>0</v>
      </c>
      <c r="M27" s="4">
        <f t="shared" si="1"/>
        <v>0</v>
      </c>
      <c r="N27" s="4">
        <f t="shared" si="1"/>
        <v>0</v>
      </c>
      <c r="O27" s="4">
        <f t="shared" si="1"/>
        <v>0</v>
      </c>
      <c r="P27" s="4">
        <f t="shared" si="1"/>
        <v>1</v>
      </c>
      <c r="Q27" s="4">
        <f t="shared" si="1"/>
        <v>1</v>
      </c>
      <c r="R27" s="4">
        <f t="shared" si="1"/>
        <v>1</v>
      </c>
      <c r="S27" s="4">
        <f t="shared" si="1"/>
        <v>1</v>
      </c>
      <c r="T27" s="4">
        <f t="shared" si="1"/>
        <v>1</v>
      </c>
      <c r="U27" s="6">
        <f t="shared" si="1"/>
        <v>0</v>
      </c>
    </row>
    <row r="28" spans="2:21" x14ac:dyDescent="0.35">
      <c r="B28" s="3" t="s">
        <v>20</v>
      </c>
      <c r="C28" s="4">
        <v>4</v>
      </c>
      <c r="D28" s="4">
        <v>4</v>
      </c>
      <c r="E28" s="5">
        <v>3</v>
      </c>
      <c r="F28" s="6">
        <f t="shared" si="0"/>
        <v>6</v>
      </c>
      <c r="J28" s="3">
        <f t="shared" si="1"/>
        <v>0</v>
      </c>
      <c r="K28" s="4">
        <f t="shared" si="1"/>
        <v>0</v>
      </c>
      <c r="L28" s="4">
        <f t="shared" si="1"/>
        <v>0</v>
      </c>
      <c r="M28" s="4">
        <f t="shared" si="1"/>
        <v>1</v>
      </c>
      <c r="N28" s="4">
        <f t="shared" si="1"/>
        <v>1</v>
      </c>
      <c r="O28" s="4">
        <f t="shared" si="1"/>
        <v>1</v>
      </c>
      <c r="P28" s="4">
        <f t="shared" si="1"/>
        <v>1</v>
      </c>
      <c r="Q28" s="4">
        <f t="shared" si="1"/>
        <v>0</v>
      </c>
      <c r="R28" s="4">
        <f t="shared" si="1"/>
        <v>0</v>
      </c>
      <c r="S28" s="4">
        <f t="shared" si="1"/>
        <v>0</v>
      </c>
      <c r="T28" s="4">
        <f t="shared" si="1"/>
        <v>0</v>
      </c>
      <c r="U28" s="6">
        <f t="shared" ref="K28:U35" si="2">IF(AND(U$10 &gt;= $E28, U$10 &lt;= $F28), 1,0)</f>
        <v>0</v>
      </c>
    </row>
    <row r="29" spans="2:21" x14ac:dyDescent="0.35">
      <c r="B29" s="3" t="s">
        <v>21</v>
      </c>
      <c r="C29" s="4">
        <v>6</v>
      </c>
      <c r="D29" s="4">
        <v>3</v>
      </c>
      <c r="E29" s="5">
        <v>0</v>
      </c>
      <c r="F29" s="6">
        <f t="shared" ref="F29:F35" si="3">(E29+(D29-1))</f>
        <v>2</v>
      </c>
      <c r="J29" s="3">
        <f t="shared" si="1"/>
        <v>1</v>
      </c>
      <c r="K29" s="4">
        <f t="shared" si="2"/>
        <v>1</v>
      </c>
      <c r="L29" s="4">
        <f t="shared" si="2"/>
        <v>1</v>
      </c>
      <c r="M29" s="4">
        <f t="shared" si="2"/>
        <v>0</v>
      </c>
      <c r="N29" s="4">
        <f t="shared" si="2"/>
        <v>0</v>
      </c>
      <c r="O29" s="4">
        <f t="shared" si="2"/>
        <v>0</v>
      </c>
      <c r="P29" s="4">
        <f t="shared" si="2"/>
        <v>0</v>
      </c>
      <c r="Q29" s="4">
        <f t="shared" si="2"/>
        <v>0</v>
      </c>
      <c r="R29" s="4">
        <f t="shared" si="2"/>
        <v>0</v>
      </c>
      <c r="S29" s="4">
        <f t="shared" si="2"/>
        <v>0</v>
      </c>
      <c r="T29" s="4">
        <f t="shared" si="2"/>
        <v>0</v>
      </c>
      <c r="U29" s="6">
        <f t="shared" si="2"/>
        <v>0</v>
      </c>
    </row>
    <row r="30" spans="2:21" x14ac:dyDescent="0.35">
      <c r="B30" s="3" t="s">
        <v>22</v>
      </c>
      <c r="C30" s="4">
        <v>8</v>
      </c>
      <c r="D30" s="4">
        <v>2</v>
      </c>
      <c r="E30" s="5">
        <v>6</v>
      </c>
      <c r="F30" s="6">
        <f t="shared" si="3"/>
        <v>7</v>
      </c>
      <c r="J30" s="3">
        <f t="shared" si="1"/>
        <v>0</v>
      </c>
      <c r="K30" s="4">
        <f t="shared" si="2"/>
        <v>0</v>
      </c>
      <c r="L30" s="4">
        <f t="shared" si="2"/>
        <v>0</v>
      </c>
      <c r="M30" s="4">
        <f t="shared" si="2"/>
        <v>0</v>
      </c>
      <c r="N30" s="4">
        <f t="shared" si="2"/>
        <v>0</v>
      </c>
      <c r="O30" s="4">
        <f t="shared" si="2"/>
        <v>0</v>
      </c>
      <c r="P30" s="4">
        <f t="shared" si="2"/>
        <v>1</v>
      </c>
      <c r="Q30" s="4">
        <f t="shared" si="2"/>
        <v>1</v>
      </c>
      <c r="R30" s="4">
        <f t="shared" si="2"/>
        <v>0</v>
      </c>
      <c r="S30" s="4">
        <f t="shared" si="2"/>
        <v>0</v>
      </c>
      <c r="T30" s="4">
        <f t="shared" si="2"/>
        <v>0</v>
      </c>
      <c r="U30" s="6">
        <f t="shared" si="2"/>
        <v>0</v>
      </c>
    </row>
    <row r="31" spans="2:21" x14ac:dyDescent="0.35">
      <c r="B31" s="3" t="s">
        <v>23</v>
      </c>
      <c r="C31" s="4">
        <v>3</v>
      </c>
      <c r="D31" s="4">
        <v>4</v>
      </c>
      <c r="E31" s="5">
        <v>8</v>
      </c>
      <c r="F31" s="6">
        <f t="shared" si="3"/>
        <v>11</v>
      </c>
      <c r="J31" s="3">
        <f t="shared" si="1"/>
        <v>0</v>
      </c>
      <c r="K31" s="4">
        <f t="shared" si="2"/>
        <v>0</v>
      </c>
      <c r="L31" s="4">
        <f t="shared" si="2"/>
        <v>0</v>
      </c>
      <c r="M31" s="4">
        <f t="shared" si="2"/>
        <v>0</v>
      </c>
      <c r="N31" s="4">
        <f t="shared" si="2"/>
        <v>0</v>
      </c>
      <c r="O31" s="4">
        <f t="shared" si="2"/>
        <v>0</v>
      </c>
      <c r="P31" s="4">
        <f t="shared" si="2"/>
        <v>0</v>
      </c>
      <c r="Q31" s="4">
        <f t="shared" si="2"/>
        <v>0</v>
      </c>
      <c r="R31" s="4">
        <f t="shared" si="2"/>
        <v>1</v>
      </c>
      <c r="S31" s="4">
        <f t="shared" si="2"/>
        <v>1</v>
      </c>
      <c r="T31" s="4">
        <f t="shared" si="2"/>
        <v>1</v>
      </c>
      <c r="U31" s="6">
        <f t="shared" si="2"/>
        <v>1</v>
      </c>
    </row>
    <row r="32" spans="2:21" x14ac:dyDescent="0.35">
      <c r="B32" s="3" t="s">
        <v>24</v>
      </c>
      <c r="C32" s="4">
        <v>6</v>
      </c>
      <c r="D32" s="4">
        <v>2</v>
      </c>
      <c r="E32" s="5">
        <v>9</v>
      </c>
      <c r="F32" s="6">
        <f t="shared" si="3"/>
        <v>10</v>
      </c>
      <c r="J32" s="3">
        <f t="shared" si="1"/>
        <v>0</v>
      </c>
      <c r="K32" s="4">
        <f t="shared" si="2"/>
        <v>0</v>
      </c>
      <c r="L32" s="4">
        <f t="shared" si="2"/>
        <v>0</v>
      </c>
      <c r="M32" s="4">
        <f t="shared" si="2"/>
        <v>0</v>
      </c>
      <c r="N32" s="4">
        <f t="shared" si="2"/>
        <v>0</v>
      </c>
      <c r="O32" s="4">
        <f t="shared" si="2"/>
        <v>0</v>
      </c>
      <c r="P32" s="4">
        <f t="shared" si="2"/>
        <v>0</v>
      </c>
      <c r="Q32" s="4">
        <f t="shared" si="2"/>
        <v>0</v>
      </c>
      <c r="R32" s="4">
        <f t="shared" si="2"/>
        <v>0</v>
      </c>
      <c r="S32" s="4">
        <f t="shared" si="2"/>
        <v>1</v>
      </c>
      <c r="T32" s="4">
        <f t="shared" si="2"/>
        <v>1</v>
      </c>
      <c r="U32" s="6">
        <f t="shared" si="2"/>
        <v>0</v>
      </c>
    </row>
    <row r="33" spans="2:21" x14ac:dyDescent="0.35">
      <c r="B33" s="3" t="s">
        <v>23</v>
      </c>
      <c r="C33" s="4">
        <v>2</v>
      </c>
      <c r="D33" s="4">
        <v>4</v>
      </c>
      <c r="E33" s="5">
        <v>5</v>
      </c>
      <c r="F33" s="6">
        <f t="shared" si="3"/>
        <v>8</v>
      </c>
      <c r="J33" s="3">
        <f t="shared" si="1"/>
        <v>0</v>
      </c>
      <c r="K33" s="4">
        <f t="shared" si="2"/>
        <v>0</v>
      </c>
      <c r="L33" s="4">
        <f t="shared" si="2"/>
        <v>0</v>
      </c>
      <c r="M33" s="4">
        <f t="shared" si="2"/>
        <v>0</v>
      </c>
      <c r="N33" s="4">
        <f t="shared" si="2"/>
        <v>0</v>
      </c>
      <c r="O33" s="4">
        <f t="shared" si="2"/>
        <v>1</v>
      </c>
      <c r="P33" s="4">
        <f t="shared" si="2"/>
        <v>1</v>
      </c>
      <c r="Q33" s="4">
        <f t="shared" si="2"/>
        <v>1</v>
      </c>
      <c r="R33" s="4">
        <f t="shared" si="2"/>
        <v>1</v>
      </c>
      <c r="S33" s="4">
        <f t="shared" si="2"/>
        <v>0</v>
      </c>
      <c r="T33" s="4">
        <f t="shared" si="2"/>
        <v>0</v>
      </c>
      <c r="U33" s="6">
        <f t="shared" si="2"/>
        <v>0</v>
      </c>
    </row>
    <row r="34" spans="2:21" x14ac:dyDescent="0.35">
      <c r="B34" s="3" t="s">
        <v>24</v>
      </c>
      <c r="C34" s="4">
        <v>4</v>
      </c>
      <c r="D34" s="4">
        <v>1</v>
      </c>
      <c r="E34" s="5">
        <v>2</v>
      </c>
      <c r="F34" s="6">
        <f t="shared" si="3"/>
        <v>2</v>
      </c>
      <c r="J34" s="3">
        <f t="shared" si="1"/>
        <v>0</v>
      </c>
      <c r="K34" s="4">
        <f t="shared" si="2"/>
        <v>0</v>
      </c>
      <c r="L34" s="4">
        <f t="shared" si="2"/>
        <v>1</v>
      </c>
      <c r="M34" s="4">
        <f t="shared" si="2"/>
        <v>0</v>
      </c>
      <c r="N34" s="4">
        <f t="shared" si="2"/>
        <v>0</v>
      </c>
      <c r="O34" s="4">
        <f t="shared" si="2"/>
        <v>0</v>
      </c>
      <c r="P34" s="4">
        <f t="shared" si="2"/>
        <v>0</v>
      </c>
      <c r="Q34" s="4">
        <f t="shared" si="2"/>
        <v>0</v>
      </c>
      <c r="R34" s="4">
        <f t="shared" si="2"/>
        <v>0</v>
      </c>
      <c r="S34" s="4">
        <f t="shared" si="2"/>
        <v>0</v>
      </c>
      <c r="T34" s="4">
        <f t="shared" si="2"/>
        <v>0</v>
      </c>
      <c r="U34" s="6">
        <f t="shared" si="2"/>
        <v>0</v>
      </c>
    </row>
    <row r="35" spans="2:21" x14ac:dyDescent="0.35">
      <c r="B35" s="3" t="s">
        <v>25</v>
      </c>
      <c r="C35" s="4">
        <v>8</v>
      </c>
      <c r="D35" s="4">
        <v>2</v>
      </c>
      <c r="E35" s="5">
        <v>8</v>
      </c>
      <c r="F35" s="6">
        <f t="shared" si="3"/>
        <v>9</v>
      </c>
      <c r="J35" s="3">
        <f t="shared" si="1"/>
        <v>0</v>
      </c>
      <c r="K35" s="4">
        <f t="shared" si="2"/>
        <v>0</v>
      </c>
      <c r="L35" s="4">
        <f t="shared" si="2"/>
        <v>0</v>
      </c>
      <c r="M35" s="4">
        <f t="shared" si="2"/>
        <v>0</v>
      </c>
      <c r="N35" s="4">
        <f t="shared" si="2"/>
        <v>0</v>
      </c>
      <c r="O35" s="4">
        <f t="shared" si="2"/>
        <v>0</v>
      </c>
      <c r="P35" s="4">
        <f t="shared" si="2"/>
        <v>0</v>
      </c>
      <c r="Q35" s="4">
        <f t="shared" si="2"/>
        <v>0</v>
      </c>
      <c r="R35" s="4">
        <f t="shared" si="2"/>
        <v>1</v>
      </c>
      <c r="S35" s="4">
        <f t="shared" si="2"/>
        <v>1</v>
      </c>
      <c r="T35" s="4">
        <f t="shared" si="2"/>
        <v>0</v>
      </c>
      <c r="U35" s="6">
        <f t="shared" si="2"/>
        <v>0</v>
      </c>
    </row>
    <row r="36" spans="2:21" ht="15" thickBot="1" x14ac:dyDescent="0.4">
      <c r="B36" s="2"/>
      <c r="C36" s="2"/>
      <c r="D36" s="2"/>
      <c r="E36" s="2"/>
      <c r="F36" s="2"/>
      <c r="I36" s="11" t="s">
        <v>15</v>
      </c>
      <c r="J36" s="10">
        <f t="shared" ref="J36:U36" si="4">SUMPRODUCT(J11:J35,$C11:$C35)</f>
        <v>10</v>
      </c>
      <c r="K36" s="10">
        <f t="shared" si="4"/>
        <v>14</v>
      </c>
      <c r="L36" s="10">
        <f t="shared" si="4"/>
        <v>36</v>
      </c>
      <c r="M36" s="10">
        <f t="shared" si="4"/>
        <v>48</v>
      </c>
      <c r="N36" s="10">
        <f t="shared" si="4"/>
        <v>52</v>
      </c>
      <c r="O36" s="10">
        <f t="shared" si="4"/>
        <v>42</v>
      </c>
      <c r="P36" s="10">
        <f t="shared" si="4"/>
        <v>44</v>
      </c>
      <c r="Q36" s="10">
        <f t="shared" si="4"/>
        <v>57</v>
      </c>
      <c r="R36" s="10">
        <f t="shared" si="4"/>
        <v>78</v>
      </c>
      <c r="S36" s="10">
        <f t="shared" si="4"/>
        <v>73</v>
      </c>
      <c r="T36" s="10">
        <f t="shared" si="4"/>
        <v>49</v>
      </c>
      <c r="U36" s="10">
        <f t="shared" si="4"/>
        <v>31</v>
      </c>
    </row>
    <row r="39" spans="2:21" x14ac:dyDescent="0.35">
      <c r="I39" t="s">
        <v>16</v>
      </c>
      <c r="J39" s="1">
        <f>MAX(J36:U36)</f>
        <v>78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Job">
                <anchor moveWithCells="1" sizeWithCells="1">
                  <from>
                    <xdr:col>1</xdr:col>
                    <xdr:colOff>0</xdr:colOff>
                    <xdr:row>1</xdr:row>
                    <xdr:rowOff>6350</xdr:rowOff>
                  </from>
                  <to>
                    <xdr:col>3</xdr:col>
                    <xdr:colOff>12700</xdr:colOff>
                    <xdr:row>4</xdr:row>
                    <xdr:rowOff>177800</xdr:rowOff>
                  </to>
                </anchor>
              </controlPr>
            </control>
          </mc:Choice>
        </mc:AlternateContent>
        <mc:AlternateContent xmlns:mc="http://schemas.openxmlformats.org/markup-compatibility/2006">
          <mc:Choice Requires="x14">
            <control shapeId="2050" r:id="rId4" name="Button 2">
              <controlPr defaultSize="0" print="0" autoFill="0" autoPict="0" macro="[0]!DeleteJob">
                <anchor moveWithCells="1" sizeWithCells="1">
                  <from>
                    <xdr:col>4</xdr:col>
                    <xdr:colOff>6350</xdr:colOff>
                    <xdr:row>1</xdr:row>
                    <xdr:rowOff>12700</xdr:rowOff>
                  </from>
                  <to>
                    <xdr:col>6</xdr:col>
                    <xdr:colOff>6350</xdr:colOff>
                    <xdr:row>5</xdr:row>
                    <xdr:rowOff>19050</xdr:rowOff>
                  </to>
                </anchor>
              </controlPr>
            </control>
          </mc:Choice>
        </mc:AlternateContent>
        <mc:AlternateContent xmlns:mc="http://schemas.openxmlformats.org/markup-compatibility/2006">
          <mc:Choice Requires="x14">
            <control shapeId="2051" r:id="rId5" name="Button 3">
              <controlPr defaultSize="0" print="0" autoFill="0" autoPict="0" macro="[0]!RandomizeStartTimes">
                <anchor moveWithCells="1" sizeWithCells="1">
                  <from>
                    <xdr:col>7</xdr:col>
                    <xdr:colOff>0</xdr:colOff>
                    <xdr:row>1</xdr:row>
                    <xdr:rowOff>6350</xdr:rowOff>
                  </from>
                  <to>
                    <xdr:col>9</xdr:col>
                    <xdr:colOff>12700</xdr:colOff>
                    <xdr:row>4</xdr:row>
                    <xdr:rowOff>171450</xdr:rowOff>
                  </to>
                </anchor>
              </controlPr>
            </control>
          </mc:Choice>
        </mc:AlternateContent>
        <mc:AlternateContent xmlns:mc="http://schemas.openxmlformats.org/markup-compatibility/2006">
          <mc:Choice Requires="x14">
            <control shapeId="2052" r:id="rId6" name="Button 4">
              <controlPr defaultSize="0" print="0" autoFill="0" autoPict="0" macro="[0]!Solve">
                <anchor moveWithCells="1" sizeWithCells="1">
                  <from>
                    <xdr:col>9</xdr:col>
                    <xdr:colOff>647700</xdr:colOff>
                    <xdr:row>1</xdr:row>
                    <xdr:rowOff>6350</xdr:rowOff>
                  </from>
                  <to>
                    <xdr:col>12</xdr:col>
                    <xdr:colOff>0</xdr:colOff>
                    <xdr:row>5</xdr:row>
                    <xdr:rowOff>12700</xdr:rowOff>
                  </to>
                </anchor>
              </controlPr>
            </control>
          </mc:Choice>
        </mc:AlternateContent>
        <mc:AlternateContent xmlns:mc="http://schemas.openxmlformats.org/markup-compatibility/2006">
          <mc:Choice Requires="x14">
            <control shapeId="2053" r:id="rId7" name="Button 5">
              <controlPr defaultSize="0" print="0" autoFill="0" autoPict="0" macro="[0]!Plot">
                <anchor moveWithCells="1" sizeWithCells="1">
                  <from>
                    <xdr:col>13</xdr:col>
                    <xdr:colOff>12700</xdr:colOff>
                    <xdr:row>1</xdr:row>
                    <xdr:rowOff>6350</xdr:rowOff>
                  </from>
                  <to>
                    <xdr:col>15</xdr:col>
                    <xdr:colOff>12700</xdr:colOff>
                    <xdr:row>5</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8</vt:i4>
      </vt:variant>
    </vt:vector>
  </HeadingPairs>
  <TitlesOfParts>
    <vt:vector size="9" baseType="lpstr">
      <vt:lpstr>JobRun</vt:lpstr>
      <vt:lpstr>Cores</vt:lpstr>
      <vt:lpstr>EndTime</vt:lpstr>
      <vt:lpstr>Hour</vt:lpstr>
      <vt:lpstr>Length</vt:lpstr>
      <vt:lpstr>MinMaxCores</vt:lpstr>
      <vt:lpstr>Names</vt:lpstr>
      <vt:lpstr>StartTime</vt:lpstr>
      <vt:lpstr>TotalCores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Farwell</dc:creator>
  <cp:lastModifiedBy>Travis Farwell</cp:lastModifiedBy>
  <dcterms:created xsi:type="dcterms:W3CDTF">2018-12-02T00:29:33Z</dcterms:created>
  <dcterms:modified xsi:type="dcterms:W3CDTF">2018-12-06T21:09:56Z</dcterms:modified>
</cp:coreProperties>
</file>